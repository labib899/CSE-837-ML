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bib/Desktop/Academic/CSE 837 (Machine Learning)/"/>
    </mc:Choice>
  </mc:AlternateContent>
  <xr:revisionPtr revIDLastSave="0" documentId="13_ncr:1_{1A9AB436-B2B1-4045-BF7C-16D7208ABB0B}" xr6:coauthVersionLast="47" xr6:coauthVersionMax="47" xr10:uidLastSave="{00000000-0000-0000-0000-000000000000}"/>
  <bookViews>
    <workbookView xWindow="0" yWindow="0" windowWidth="28800" windowHeight="18000" xr2:uid="{DD6490C6-34C6-F34D-9AD5-134F9F8389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7" i="1" l="1" a="1"/>
  <c r="Q27" i="1" s="1"/>
  <c r="L13" i="1" a="1"/>
  <c r="L13" i="1" s="1"/>
  <c r="N21" i="1" s="1" a="1"/>
  <c r="N21" i="1" s="1"/>
  <c r="N27" i="1" s="1" a="1"/>
  <c r="N27" i="1" s="1"/>
  <c r="G14" i="1"/>
  <c r="G13" i="1"/>
  <c r="G12" i="1"/>
  <c r="Q21" i="1" l="1" a="1"/>
  <c r="Q2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<sst xmlns="http://schemas.openxmlformats.org/spreadsheetml/2006/main" count="12" uniqueCount="12">
  <si>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X</t>
  </si>
  <si>
    <t>Y</t>
  </si>
  <si>
    <t>slope(m)</t>
  </si>
  <si>
    <t>intercept(c)</t>
  </si>
  <si>
    <t>correlation(r)</t>
  </si>
  <si>
    <t>matrix A</t>
  </si>
  <si>
    <t>A (Transpose)</t>
  </si>
  <si>
    <t>A^T*A</t>
  </si>
  <si>
    <t>(A^T*A)^-1</t>
  </si>
  <si>
    <t>matrix y</t>
  </si>
  <si>
    <t>A^T*y</t>
  </si>
  <si>
    <t>matrix b = (A^T*A)^-1*(A^T*y)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</si>
</sst>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B04C4-2D15-D546-B9F9-6FD11ECA7DF0}">
  <dimension ref="C12:S28"/>
  <sheetViews>
    <sheetView tabSelected="1" topLeftCell="J7" zoomScale="150" zoomScaleNormal="150" workbookViewId="0">
      <selection activeCell="R28" sqref="R28"/>
    </sheetView>
  </sheetViews>
  <sheetFormatPr baseColWidth="10" defaultRowHeight="16" x14ac:dyDescent="0.2"/>
  <sheetData>
    <row r="12" spans="3:17" x14ac:dyDescent="0.2">
      <c r="C12" s="3" t="s">
        <v>0</v>
      </c>
      <c r="D12" s="3" t="s">
        <v>1</v>
      </c>
      <c r="F12" s="1" t="s">
        <v>2</v>
      </c>
      <c r="G12" s="2">
        <f>SLOPE(D13:D18,C13:C18)</f>
        <v>1.5</v>
      </c>
      <c r="I12" s="5" t="s">
        <v>5</v>
      </c>
      <c r="J12" s="5"/>
      <c r="L12" s="6" t="s">
        <v>6</v>
      </c>
      <c r="M12" s="6"/>
      <c r="N12" s="6"/>
      <c r="O12" s="6"/>
      <c r="P12" s="6"/>
      <c r="Q12" s="6"/>
    </row>
    <row r="13" spans="3:17" x14ac:dyDescent="0.2">
      <c r="C13" s="4">
        <v>4</v>
      </c>
      <c r="D13" s="4">
        <v>16</v>
      </c>
      <c r="F13" s="1" t="s">
        <v>3</v>
      </c>
      <c r="G13" s="2">
        <f>INTERCEPT(D13:D18,C13:C18)</f>
        <v>10.5</v>
      </c>
      <c r="I13" s="4">
        <v>4</v>
      </c>
      <c r="J13" s="4">
        <v>1</v>
      </c>
      <c r="L13" s="4" cm="1">
        <f t="array" ref="L13:Q14">TRANSPOSE(I13:J18)</f>
        <v>4</v>
      </c>
      <c r="M13" s="4">
        <v>3</v>
      </c>
      <c r="N13" s="4">
        <v>7</v>
      </c>
      <c r="O13" s="4">
        <v>2</v>
      </c>
      <c r="P13" s="4">
        <v>6</v>
      </c>
      <c r="Q13" s="4">
        <v>8</v>
      </c>
    </row>
    <row r="14" spans="3:17" x14ac:dyDescent="0.2">
      <c r="C14" s="4">
        <v>3</v>
      </c>
      <c r="D14" s="4">
        <v>12</v>
      </c>
      <c r="F14" s="1" t="s">
        <v>4</v>
      </c>
      <c r="G14" s="2">
        <f>CORREL(C13:C18,D13:D18)</f>
        <v>0.81866523436472283</v>
      </c>
      <c r="I14" s="4">
        <v>3</v>
      </c>
      <c r="J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</row>
    <row r="15" spans="3:17" x14ac:dyDescent="0.2">
      <c r="C15" s="4">
        <v>7</v>
      </c>
      <c r="D15" s="4">
        <v>20</v>
      </c>
      <c r="I15" s="4">
        <v>7</v>
      </c>
      <c r="J15" s="4">
        <v>1</v>
      </c>
    </row>
    <row r="16" spans="3:17" x14ac:dyDescent="0.2">
      <c r="C16" s="4">
        <v>2</v>
      </c>
      <c r="D16" s="4">
        <v>17</v>
      </c>
      <c r="I16" s="4">
        <v>2</v>
      </c>
      <c r="J16" s="4">
        <v>1</v>
      </c>
    </row>
    <row r="17" spans="3:19" x14ac:dyDescent="0.2">
      <c r="C17" s="4">
        <v>6</v>
      </c>
      <c r="D17" s="4">
        <v>18</v>
      </c>
      <c r="I17" s="4">
        <v>6</v>
      </c>
      <c r="J17" s="4">
        <v>1</v>
      </c>
    </row>
    <row r="18" spans="3:19" x14ac:dyDescent="0.2">
      <c r="C18" s="4">
        <v>8</v>
      </c>
      <c r="D18" s="4">
        <v>25</v>
      </c>
      <c r="I18" s="4">
        <v>8</v>
      </c>
      <c r="J18" s="4">
        <v>1</v>
      </c>
    </row>
    <row r="20" spans="3:19" x14ac:dyDescent="0.2">
      <c r="N20" s="6" t="s">
        <v>7</v>
      </c>
      <c r="O20" s="6"/>
      <c r="Q20" s="3" t="s">
        <v>10</v>
      </c>
    </row>
    <row r="21" spans="3:19" x14ac:dyDescent="0.2">
      <c r="I21" s="6" t="s">
        <v>9</v>
      </c>
      <c r="J21" s="6"/>
      <c r="N21" s="2" cm="1">
        <f t="array" ref="N21:O22">MMULT(L13:Q14,I13:J18)</f>
        <v>178</v>
      </c>
      <c r="O21" s="2">
        <v>30</v>
      </c>
      <c r="Q21" s="4" cm="1">
        <f t="array" ref="Q21:Q22">MMULT(L13:Q14,I22:I27)</f>
        <v>582</v>
      </c>
    </row>
    <row r="22" spans="3:19" x14ac:dyDescent="0.2">
      <c r="I22" s="7">
        <v>16</v>
      </c>
      <c r="J22" s="7"/>
      <c r="N22" s="2">
        <v>30</v>
      </c>
      <c r="O22" s="2">
        <v>6</v>
      </c>
      <c r="Q22" s="4">
        <v>108</v>
      </c>
    </row>
    <row r="23" spans="3:19" x14ac:dyDescent="0.2">
      <c r="I23" s="7">
        <v>12</v>
      </c>
      <c r="J23" s="7"/>
    </row>
    <row r="24" spans="3:19" x14ac:dyDescent="0.2">
      <c r="I24" s="7">
        <v>20</v>
      </c>
      <c r="J24" s="7"/>
    </row>
    <row r="25" spans="3:19" x14ac:dyDescent="0.2">
      <c r="I25" s="7">
        <v>17</v>
      </c>
      <c r="J25" s="7"/>
    </row>
    <row r="26" spans="3:19" x14ac:dyDescent="0.2">
      <c r="I26" s="7">
        <v>18</v>
      </c>
      <c r="J26" s="7"/>
      <c r="N26" s="6" t="s">
        <v>8</v>
      </c>
      <c r="O26" s="6"/>
      <c r="Q26" s="8" t="s">
        <v>11</v>
      </c>
      <c r="R26" s="8"/>
      <c r="S26" s="8"/>
    </row>
    <row r="27" spans="3:19" x14ac:dyDescent="0.2">
      <c r="I27" s="7">
        <v>25</v>
      </c>
      <c r="J27" s="7"/>
      <c r="N27" s="2" cm="1">
        <f t="array" ref="N27:O28">MINVERSE(N21:O22)</f>
        <v>3.5714285714285698E-2</v>
      </c>
      <c r="O27" s="2">
        <v>-0.17857142857142846</v>
      </c>
      <c r="Q27" s="4" cm="1">
        <f t="array" ref="Q27:Q28">MMULT(N27:O28,Q21:Q22)</f>
        <v>1.5000000000000036</v>
      </c>
      <c r="R27" s="4"/>
      <c r="S27" s="4"/>
    </row>
    <row r="28" spans="3:19" x14ac:dyDescent="0.2">
      <c r="N28" s="2">
        <v>-0.17857142857142846</v>
      </c>
      <c r="O28" s="2">
        <v>1.0595238095238089</v>
      </c>
      <c r="Q28" s="4">
        <v>10.5</v>
      </c>
      <c r="R28" s="4"/>
      <c r="S28" s="4"/>
    </row>
  </sheetData>
  <mergeCells count="12">
    <mergeCell ref="I26:J26"/>
    <mergeCell ref="I27:J27"/>
    <mergeCell ref="Q26:S26"/>
    <mergeCell ref="I12:J12"/>
    <mergeCell ref="I21:J21"/>
    <mergeCell ref="L12:Q12"/>
    <mergeCell ref="N20:O20"/>
    <mergeCell ref="N26:O26"/>
    <mergeCell ref="I22:J22"/>
    <mergeCell ref="I23:J23"/>
    <mergeCell ref="I24:J24"/>
    <mergeCell ref="I25:J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Labib</dc:creator>
  <cp:lastModifiedBy>Labib</cp:lastModifiedBy>
  <dcterms:created xsi:type="dcterms:W3CDTF">2025-10-19T04:37:25Z</dcterms:created>
  <dcterms:modified xsi:type="dcterms:W3CDTF">2025-10-21T06:20:17Z</dcterms:modified>
</cp:coreProperties>
</file>